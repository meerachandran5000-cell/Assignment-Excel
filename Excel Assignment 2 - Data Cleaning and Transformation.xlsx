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 Data  Analytics\ML -DA75\"/>
    </mc:Choice>
  </mc:AlternateContent>
  <xr:revisionPtr revIDLastSave="0" documentId="13_ncr:1_{B305C8DC-2F06-4F2A-86FE-FC5164445B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3" l="1"/>
  <c r="H2" i="3"/>
  <c r="H3" i="3"/>
  <c r="H4" i="3"/>
  <c r="H5" i="3"/>
  <c r="K5" i="3" s="1"/>
  <c r="H6" i="3"/>
  <c r="H7" i="3"/>
  <c r="K7" i="3" s="1"/>
  <c r="H8" i="3"/>
  <c r="K8" i="3" s="1"/>
  <c r="H9" i="3"/>
  <c r="H10" i="3"/>
  <c r="H11" i="3"/>
  <c r="H12" i="3"/>
  <c r="K12" i="3" s="1"/>
  <c r="H13" i="3"/>
  <c r="K13" i="3" s="1"/>
  <c r="H14" i="3"/>
  <c r="H15" i="3"/>
  <c r="H16" i="3"/>
  <c r="H17" i="3"/>
  <c r="H18" i="3"/>
  <c r="H19" i="3"/>
  <c r="H20" i="3"/>
  <c r="H21" i="3"/>
  <c r="K21" i="3" s="1"/>
  <c r="H22" i="3"/>
  <c r="K22" i="3" s="1"/>
  <c r="H23" i="3"/>
  <c r="K23" i="3" s="1"/>
  <c r="H24" i="3"/>
  <c r="K24" i="3" s="1"/>
  <c r="H25" i="3"/>
  <c r="K25" i="3" s="1"/>
  <c r="H26" i="3"/>
  <c r="H27" i="3"/>
  <c r="H28" i="3"/>
  <c r="H29" i="3"/>
  <c r="H30" i="3"/>
  <c r="H31" i="3"/>
  <c r="K31" i="3" s="1"/>
  <c r="H32" i="3"/>
  <c r="H33" i="3"/>
  <c r="K33" i="3" s="1"/>
  <c r="H34" i="3"/>
  <c r="H35" i="3"/>
  <c r="K10" i="3"/>
  <c r="K11" i="3"/>
  <c r="K14" i="3"/>
  <c r="K26" i="3"/>
  <c r="K32" i="3"/>
  <c r="K34" i="3"/>
  <c r="K35" i="3"/>
  <c r="K29" i="3"/>
  <c r="K27" i="3"/>
  <c r="K18" i="3"/>
  <c r="K15" i="3"/>
  <c r="K9" i="3"/>
  <c r="K6" i="3"/>
  <c r="K3" i="3"/>
  <c r="K28" i="3"/>
  <c r="K30" i="3"/>
  <c r="K4" i="3"/>
  <c r="K16" i="3"/>
  <c r="K17" i="3"/>
  <c r="K19" i="3"/>
  <c r="K2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C2" i="3" a="1"/>
  <c r="C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<sst xmlns="http://schemas.openxmlformats.org/spreadsheetml/2006/main" count="307" uniqueCount="125">
  <si>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</si>
  <si>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</si>
  <si>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</si>
  <si>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</si>
  <si>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</si>
  <si>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</si>
  <si>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</si>
  <si>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</si>
  <si>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</si>
  <si>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</si>
  <si>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</si>
  <si>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</si>
  <si>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</si>
  <si>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</si>
  <si>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</si>
  <si>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</si>
  <si>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</si>
  <si>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</si>
  <si>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</si>
  <si>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</si>
  <si>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</si>
  <si>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</si>
  <si>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</si>
  <si>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</si>
  <si>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</si>
  <si>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</si>
  <si>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</si>
  <si>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</si>
  <si>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</si>
  <si>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</si>
  <si>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</si>
  <si>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</si>
  <si>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</si>
  <si>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</si>
  <si>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</si>
  <si>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</si>
  <si>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</si>
  <si>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</si>
  <si>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</si>
  <si>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</si>
  <si>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</si>
  <si>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</si>
  <si>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</si>
  <si>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</si>
  <si>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</si>
  <si>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</si>
  <si>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</si>
  <si>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</si>
  <si>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</si>
  <si>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</si>
  <si>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</si>
  <si>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</si>
  <si>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</si>
  <si>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</si>
  <si>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</si>
  <si>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</si>
  <si>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</si>
  <si>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</si>
  <si>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</si>
  <si>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</si>
  <si>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</si>
  <si>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</si>
  <si>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</si>
  <si>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</si>
  <si>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</si>
  <si>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</si>
  <si>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</si>
  <si>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</si>
  <si>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</si>
  <si>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</si>
  <si>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</si>
  <si>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</si>
  <si>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</si>
  <si>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</si>
  <si>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</si>
  <si>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</si>
  <si>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</si>
  <si>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</si>
  <si>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</si>
  <si>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</si>
  <si>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</si>
  <si>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</si>
  <si>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</si>
  <si>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</si>
  <si>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</si>
  <si>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</si>
  <si>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</si>
  <si>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</si>
  <si>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</si>
  <si>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</si>
  <si>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</si>
  <si>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</si>
  <si>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</si>
  <si>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</si>
  <si>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</si>
  <si>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</si>
  <si>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</si>
  <si>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</si>
  <si>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</si>
  <si>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</si>
  <si>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</si>
  <si>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</si>
  <si>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</si>
  <si>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</si>
  <si>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</si>
  <si>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</si>
  <si>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</si>
  <si>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</si>
  <si>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</si>
  <si>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</si>
  <si>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</si>
  <si>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</si>
  <si>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</si>
  <si>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</si>
  <si>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</si>
  <si>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</si>
  <si>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 Value</t>
  </si>
  <si>
    <t>NO Values</t>
  </si>
  <si>
    <t>Manufacturing Date</t>
  </si>
  <si>
    <t>Country Code</t>
  </si>
  <si>
    <t>Product Brand</t>
  </si>
  <si>
    <t>1) NO Values</t>
  </si>
  <si>
    <t>2) Product Name New</t>
  </si>
  <si>
    <t>2) Electronics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</si>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</sst>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8" fontId="7" fillId="2" borderId="0" xfId="0" applyNumberFormat="1" applyFont="1" applyFill="1" applyAlignment="1">
      <alignment horizontal="center"/>
    </xf>
    <xf numFmtId="8" fontId="5" fillId="0" borderId="0" xfId="0" applyNumberFormat="1" applyFont="1"/>
    <xf numFmtId="8" fontId="5" fillId="3" borderId="0" xfId="0" applyNumberFormat="1" applyFont="1" applyFill="1"/>
    <xf numFmtId="8" fontId="5" fillId="3" borderId="0" xfId="0" applyNumberFormat="1" applyFont="1" applyFill="1" applyAlignment="1">
      <alignment horizontal="right"/>
    </xf>
    <xf numFmtId="8" fontId="0" fillId="0" borderId="0" xfId="0" applyNumberFormat="1"/>
    <xf numFmtId="14" fontId="8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ont>
        <b/>
        <i/>
      </font>
      <fill>
        <patternFill>
          <bgColor theme="6" tint="0.59996337778862885"/>
        </patternFill>
      </fill>
    </dxf>
    <dxf>
      <font>
        <b/>
        <i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9" workbookViewId="0">
      <selection activeCell="C8" sqref="C8:M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3702-75F8-4E3E-B725-C066A348786C}">
  <sheetPr>
    <outlinePr summaryBelow="0" summaryRight="0"/>
  </sheetPr>
  <dimension ref="A1:Q1000"/>
  <sheetViews>
    <sheetView tabSelected="1" workbookViewId="0">
      <selection activeCell="N15" sqref="N15"/>
    </sheetView>
  </sheetViews>
  <sheetFormatPr defaultColWidth="12.6640625" defaultRowHeight="15" customHeight="1" x14ac:dyDescent="0.25"/>
  <cols>
    <col min="1" max="1" width="12.6640625" customWidth="1"/>
    <col min="2" max="2" width="15.5546875" customWidth="1"/>
    <col min="3" max="3" width="25" customWidth="1"/>
    <col min="4" max="4" width="14.77734375" customWidth="1"/>
    <col min="5" max="5" width="12.6640625" style="15" customWidth="1"/>
    <col min="6" max="7" width="12.6640625" customWidth="1"/>
    <col min="8" max="8" width="22.77734375" style="17" customWidth="1"/>
    <col min="9" max="9" width="15.6640625" customWidth="1"/>
    <col min="10" max="10" width="22.44140625" customWidth="1"/>
    <col min="11" max="11" width="16.88671875" customWidth="1"/>
  </cols>
  <sheetData>
    <row r="1" spans="1:17" ht="15.75" customHeight="1" x14ac:dyDescent="0.25">
      <c r="A1" s="7" t="s">
        <v>19</v>
      </c>
      <c r="B1" s="7" t="s">
        <v>20</v>
      </c>
      <c r="C1" s="9" t="s">
        <v>122</v>
      </c>
      <c r="D1" s="7" t="s">
        <v>21</v>
      </c>
      <c r="E1" s="11" t="s">
        <v>22</v>
      </c>
      <c r="F1" s="7" t="s">
        <v>23</v>
      </c>
      <c r="G1" s="7" t="s">
        <v>24</v>
      </c>
      <c r="H1" s="16" t="s">
        <v>118</v>
      </c>
      <c r="I1" s="9" t="s">
        <v>119</v>
      </c>
      <c r="J1" s="9" t="s">
        <v>120</v>
      </c>
      <c r="K1" s="9" t="s">
        <v>124</v>
      </c>
    </row>
    <row r="2" spans="1:17" ht="15.75" customHeight="1" x14ac:dyDescent="0.25">
      <c r="A2" s="5" t="s">
        <v>25</v>
      </c>
      <c r="B2" s="5" t="s">
        <v>26</v>
      </c>
      <c r="C2" s="5" t="str" cm="1">
        <f t="array" ref="C2:C35">PROPER(TRIM(B2:B35))</f>
        <v>Laptop</v>
      </c>
      <c r="D2" s="5" t="s">
        <v>27</v>
      </c>
      <c r="E2" s="12">
        <v>1000</v>
      </c>
      <c r="F2" s="5">
        <v>30</v>
      </c>
      <c r="G2" s="5" t="s">
        <v>28</v>
      </c>
      <c r="H2" s="17" t="str">
        <f>LEFT(A2,6)</f>
        <v>28-JAN</v>
      </c>
      <c r="I2" t="str">
        <f>RIGHT(A2,2)</f>
        <v>US</v>
      </c>
      <c r="J2" t="str">
        <f>D2&amp;" "&amp;C2</f>
        <v>Dell Laptop</v>
      </c>
      <c r="K2" s="17">
        <f>DATEVALUE(H2&amp;"-2025")</f>
        <v>45685</v>
      </c>
    </row>
    <row r="3" spans="1:17" ht="15.75" customHeight="1" x14ac:dyDescent="0.25">
      <c r="A3" s="8" t="s">
        <v>29</v>
      </c>
      <c r="B3" s="8" t="s">
        <v>30</v>
      </c>
      <c r="C3" s="8" t="str">
        <v>Sneakers</v>
      </c>
      <c r="D3" s="8" t="s">
        <v>31</v>
      </c>
      <c r="E3" s="13">
        <v>80</v>
      </c>
      <c r="F3" s="8">
        <v>15</v>
      </c>
      <c r="G3" s="8" t="s">
        <v>32</v>
      </c>
      <c r="H3" s="17" t="str">
        <f>LEFT(A3,6)</f>
        <v>15-FEB</v>
      </c>
      <c r="I3" t="str">
        <f t="shared" ref="I3:I35" si="0">RIGHT(A3,2)</f>
        <v>US</v>
      </c>
      <c r="J3" t="str">
        <f t="shared" ref="J3:J35" si="1">D3&amp;" "&amp;C3</f>
        <v>Nike Sneakers</v>
      </c>
      <c r="K3" s="17">
        <f t="shared" ref="K3:K35" si="2">DATEVALUE(H3&amp;"-2025")</f>
        <v>45703</v>
      </c>
      <c r="L3" s="5"/>
      <c r="M3" s="5"/>
      <c r="N3" s="5"/>
      <c r="O3" s="5"/>
      <c r="P3" s="5"/>
      <c r="Q3" s="5"/>
    </row>
    <row r="4" spans="1:17" ht="15.75" customHeight="1" x14ac:dyDescent="0.25">
      <c r="A4" s="5" t="s">
        <v>33</v>
      </c>
      <c r="B4" s="5" t="s">
        <v>34</v>
      </c>
      <c r="C4" s="5" t="str">
        <v>Coffee Maker</v>
      </c>
      <c r="D4" s="5" t="s">
        <v>35</v>
      </c>
      <c r="E4" s="12">
        <v>130</v>
      </c>
      <c r="F4" s="5">
        <v>40</v>
      </c>
      <c r="G4" s="5" t="s">
        <v>36</v>
      </c>
      <c r="H4" s="17" t="str">
        <f>LEFT(A4,6)</f>
        <v>03-MAR</v>
      </c>
      <c r="I4" t="str">
        <f t="shared" si="0"/>
        <v>US</v>
      </c>
      <c r="J4" t="str">
        <f t="shared" si="1"/>
        <v>Keurig Coffee Maker</v>
      </c>
      <c r="K4" s="17">
        <f t="shared" si="2"/>
        <v>45719</v>
      </c>
      <c r="L4" s="5"/>
      <c r="M4" s="5"/>
      <c r="N4" s="5"/>
      <c r="O4" s="5"/>
      <c r="P4" s="5"/>
      <c r="Q4" s="5"/>
    </row>
    <row r="5" spans="1:17" ht="15.75" customHeight="1" x14ac:dyDescent="0.25">
      <c r="A5" s="8" t="s">
        <v>37</v>
      </c>
      <c r="B5" s="8" t="s">
        <v>38</v>
      </c>
      <c r="C5" s="8" t="str">
        <v>Smartphone</v>
      </c>
      <c r="D5" s="8" t="s">
        <v>39</v>
      </c>
      <c r="E5" s="13">
        <v>900</v>
      </c>
      <c r="F5" s="8">
        <v>25</v>
      </c>
      <c r="G5" s="8" t="s">
        <v>28</v>
      </c>
      <c r="H5" s="17" t="str">
        <f>LEFT(A5,6)</f>
        <v>11-APR</v>
      </c>
      <c r="I5" t="str">
        <f t="shared" si="0"/>
        <v>US</v>
      </c>
      <c r="J5" t="str">
        <f t="shared" si="1"/>
        <v>Samsung Smartphone</v>
      </c>
      <c r="K5" s="17">
        <f t="shared" si="2"/>
        <v>45758</v>
      </c>
      <c r="L5" s="5"/>
      <c r="M5" s="5"/>
      <c r="N5" s="5"/>
      <c r="O5" s="5"/>
      <c r="P5" s="5"/>
      <c r="Q5" s="5"/>
    </row>
    <row r="6" spans="1:17" ht="15.75" customHeight="1" x14ac:dyDescent="0.25">
      <c r="A6" s="5" t="s">
        <v>40</v>
      </c>
      <c r="B6" s="5" t="s">
        <v>41</v>
      </c>
      <c r="C6" s="5" t="str">
        <v>Backpack</v>
      </c>
      <c r="D6" s="5" t="s">
        <v>42</v>
      </c>
      <c r="E6" s="12">
        <v>70</v>
      </c>
      <c r="F6" s="5">
        <v>20</v>
      </c>
      <c r="G6" s="10" t="s">
        <v>116</v>
      </c>
      <c r="H6" s="17" t="str">
        <f>LEFT(A6,6)</f>
        <v>22-MAY</v>
      </c>
      <c r="I6" t="str">
        <f t="shared" si="0"/>
        <v>US</v>
      </c>
      <c r="J6" t="str">
        <f t="shared" si="1"/>
        <v>North Face Backpack</v>
      </c>
      <c r="K6" s="17">
        <f t="shared" si="2"/>
        <v>45799</v>
      </c>
    </row>
    <row r="7" spans="1:17" ht="15.75" customHeight="1" x14ac:dyDescent="0.25">
      <c r="A7" s="8" t="s">
        <v>43</v>
      </c>
      <c r="B7" s="8" t="s">
        <v>44</v>
      </c>
      <c r="C7" s="8" t="str">
        <v>Headphones</v>
      </c>
      <c r="D7" s="8" t="s">
        <v>45</v>
      </c>
      <c r="E7" s="14" t="s">
        <v>121</v>
      </c>
      <c r="F7" s="8">
        <v>45</v>
      </c>
      <c r="G7" s="8" t="s">
        <v>123</v>
      </c>
      <c r="H7" s="17" t="str">
        <f>LEFT(A7,6)</f>
        <v>07-JUN</v>
      </c>
      <c r="I7" t="str">
        <f t="shared" si="0"/>
        <v>UK</v>
      </c>
      <c r="J7" t="str">
        <f t="shared" si="1"/>
        <v>Sony Headphones</v>
      </c>
      <c r="K7" s="17">
        <f t="shared" si="2"/>
        <v>45815</v>
      </c>
    </row>
    <row r="8" spans="1:17" ht="15.75" customHeight="1" x14ac:dyDescent="0.25">
      <c r="A8" s="5" t="s">
        <v>47</v>
      </c>
      <c r="B8" s="5" t="s">
        <v>48</v>
      </c>
      <c r="C8" s="5" t="str">
        <v>T-Shirt</v>
      </c>
      <c r="D8" s="5" t="s">
        <v>49</v>
      </c>
      <c r="E8" s="12">
        <v>30</v>
      </c>
      <c r="F8" s="5">
        <v>5</v>
      </c>
      <c r="G8" s="5" t="s">
        <v>32</v>
      </c>
      <c r="H8" s="17" t="str">
        <f>LEFT(A8,6)</f>
        <v>19-JUL</v>
      </c>
      <c r="I8" t="str">
        <f t="shared" si="0"/>
        <v>UK</v>
      </c>
      <c r="J8" t="str">
        <f t="shared" si="1"/>
        <v>Adidas T-Shirt</v>
      </c>
      <c r="K8" s="17">
        <f t="shared" si="2"/>
        <v>45857</v>
      </c>
    </row>
    <row r="9" spans="1:17" ht="15.75" customHeight="1" x14ac:dyDescent="0.25">
      <c r="A9" s="8" t="s">
        <v>50</v>
      </c>
      <c r="B9" s="8" t="s">
        <v>51</v>
      </c>
      <c r="C9" s="8" t="str">
        <v>Blender</v>
      </c>
      <c r="D9" s="8" t="s">
        <v>52</v>
      </c>
      <c r="E9" s="13">
        <v>90</v>
      </c>
      <c r="F9" s="8">
        <v>35</v>
      </c>
      <c r="G9" s="8" t="s">
        <v>36</v>
      </c>
      <c r="H9" s="17" t="str">
        <f>LEFT(A9,6)</f>
        <v>23-AUG</v>
      </c>
      <c r="I9" t="str">
        <f t="shared" si="0"/>
        <v>UK</v>
      </c>
      <c r="J9" t="str">
        <f t="shared" si="1"/>
        <v>Ninja Blender</v>
      </c>
      <c r="K9" s="17">
        <f t="shared" si="2"/>
        <v>45892</v>
      </c>
    </row>
    <row r="10" spans="1:17" ht="15.75" customHeight="1" x14ac:dyDescent="0.25">
      <c r="A10" s="5" t="s">
        <v>53</v>
      </c>
      <c r="B10" s="5" t="s">
        <v>54</v>
      </c>
      <c r="C10" s="5" t="str">
        <v>Tablet</v>
      </c>
      <c r="D10" s="5" t="s">
        <v>55</v>
      </c>
      <c r="E10" s="12">
        <v>500</v>
      </c>
      <c r="F10" s="5">
        <v>50</v>
      </c>
      <c r="G10" s="5" t="s">
        <v>28</v>
      </c>
      <c r="H10" s="17" t="str">
        <f>LEFT(A10,6)</f>
        <v>05-SEP</v>
      </c>
      <c r="I10" t="str">
        <f t="shared" si="0"/>
        <v>UK</v>
      </c>
      <c r="J10" t="str">
        <f t="shared" si="1"/>
        <v>Apple Tablet</v>
      </c>
      <c r="K10" s="17">
        <f t="shared" si="2"/>
        <v>45905</v>
      </c>
    </row>
    <row r="11" spans="1:17" ht="15.75" customHeight="1" x14ac:dyDescent="0.25">
      <c r="A11" s="8" t="s">
        <v>56</v>
      </c>
      <c r="B11" s="8" t="s">
        <v>57</v>
      </c>
      <c r="C11" s="8" t="str">
        <v>Hiking Boots</v>
      </c>
      <c r="D11" s="8" t="s">
        <v>58</v>
      </c>
      <c r="E11" s="13">
        <v>130</v>
      </c>
      <c r="F11" s="8">
        <v>10</v>
      </c>
      <c r="G11" s="8" t="s">
        <v>59</v>
      </c>
      <c r="H11" s="17" t="str">
        <f>LEFT(A11,6)</f>
        <v>14-OCT</v>
      </c>
      <c r="I11" t="str">
        <f t="shared" si="0"/>
        <v>UK</v>
      </c>
      <c r="J11" t="str">
        <f t="shared" si="1"/>
        <v>Timberland Hiking Boots</v>
      </c>
      <c r="K11" s="17">
        <f t="shared" si="2"/>
        <v>45944</v>
      </c>
    </row>
    <row r="12" spans="1:17" ht="15.75" customHeight="1" x14ac:dyDescent="0.25">
      <c r="A12" s="5" t="s">
        <v>60</v>
      </c>
      <c r="B12" s="5" t="s">
        <v>61</v>
      </c>
      <c r="C12" s="5" t="str">
        <v>Laptop</v>
      </c>
      <c r="D12" s="5" t="s">
        <v>62</v>
      </c>
      <c r="E12" s="12">
        <v>950</v>
      </c>
      <c r="F12" s="5">
        <v>25</v>
      </c>
      <c r="G12" s="5" t="s">
        <v>28</v>
      </c>
      <c r="H12" s="17" t="str">
        <f>LEFT(A12,6)</f>
        <v>17-JUN</v>
      </c>
      <c r="I12" t="str">
        <f t="shared" si="0"/>
        <v>IN</v>
      </c>
      <c r="J12" t="str">
        <f t="shared" si="1"/>
        <v>HP Laptop</v>
      </c>
      <c r="K12" s="17">
        <f t="shared" si="2"/>
        <v>45825</v>
      </c>
    </row>
    <row r="13" spans="1:17" ht="15.75" customHeight="1" x14ac:dyDescent="0.25">
      <c r="A13" s="8" t="s">
        <v>63</v>
      </c>
      <c r="B13" s="8" t="s">
        <v>30</v>
      </c>
      <c r="C13" s="8" t="str">
        <v>Sneakers</v>
      </c>
      <c r="D13" s="8" t="s">
        <v>49</v>
      </c>
      <c r="E13" s="13">
        <v>90</v>
      </c>
      <c r="F13" s="8">
        <v>40</v>
      </c>
      <c r="G13" s="8" t="s">
        <v>116</v>
      </c>
      <c r="H13" s="17" t="str">
        <f>LEFT(A13,6)</f>
        <v>25-NOV</v>
      </c>
      <c r="I13" t="str">
        <f t="shared" si="0"/>
        <v>AU</v>
      </c>
      <c r="J13" t="str">
        <f t="shared" si="1"/>
        <v>Adidas Sneakers</v>
      </c>
      <c r="K13" s="17">
        <f t="shared" si="2"/>
        <v>45986</v>
      </c>
    </row>
    <row r="14" spans="1:17" ht="15.75" customHeight="1" x14ac:dyDescent="0.25">
      <c r="A14" s="5" t="s">
        <v>64</v>
      </c>
      <c r="B14" s="5" t="s">
        <v>34</v>
      </c>
      <c r="C14" s="5" t="str">
        <v>Coffee Maker</v>
      </c>
      <c r="D14" s="5" t="s">
        <v>65</v>
      </c>
      <c r="E14" s="12">
        <v>120</v>
      </c>
      <c r="F14" s="5">
        <v>35</v>
      </c>
      <c r="G14" s="5" t="s">
        <v>116</v>
      </c>
      <c r="H14" s="17" t="str">
        <f>LEFT(A14,6)</f>
        <v>08-DEC</v>
      </c>
      <c r="I14" t="str">
        <f t="shared" si="0"/>
        <v>DE</v>
      </c>
      <c r="J14" t="str">
        <f t="shared" si="1"/>
        <v>Nespresso Coffee Maker</v>
      </c>
      <c r="K14" s="17">
        <f t="shared" si="2"/>
        <v>45999</v>
      </c>
    </row>
    <row r="15" spans="1:17" ht="15.75" customHeight="1" x14ac:dyDescent="0.25">
      <c r="A15" s="8" t="s">
        <v>66</v>
      </c>
      <c r="B15" s="8" t="s">
        <v>67</v>
      </c>
      <c r="C15" s="8" t="str">
        <v>Smartwatch</v>
      </c>
      <c r="D15" s="8" t="s">
        <v>68</v>
      </c>
      <c r="E15" s="13">
        <v>150</v>
      </c>
      <c r="F15" s="8">
        <v>15</v>
      </c>
      <c r="G15" s="8" t="s">
        <v>28</v>
      </c>
      <c r="H15" s="17" t="str">
        <f>LEFT(A15,6)</f>
        <v>18-FEB</v>
      </c>
      <c r="I15" t="str">
        <f t="shared" si="0"/>
        <v>CA</v>
      </c>
      <c r="J15" t="str">
        <f t="shared" si="1"/>
        <v>Fitbit Smartwatch</v>
      </c>
      <c r="K15" s="17">
        <f t="shared" si="2"/>
        <v>45706</v>
      </c>
    </row>
    <row r="16" spans="1:17" ht="15.75" customHeight="1" x14ac:dyDescent="0.25">
      <c r="A16" s="5" t="s">
        <v>69</v>
      </c>
      <c r="B16" s="5" t="s">
        <v>70</v>
      </c>
      <c r="C16" s="5" t="str">
        <v>Headphones</v>
      </c>
      <c r="D16" s="5" t="s">
        <v>71</v>
      </c>
      <c r="E16" s="12">
        <v>250</v>
      </c>
      <c r="F16" s="5">
        <v>20</v>
      </c>
      <c r="G16" s="5" t="s">
        <v>28</v>
      </c>
      <c r="H16" s="17" t="str">
        <f>LEFT(A16,6)</f>
        <v>16-APR</v>
      </c>
      <c r="I16" t="str">
        <f t="shared" si="0"/>
        <v>ES</v>
      </c>
      <c r="J16" t="str">
        <f t="shared" si="1"/>
        <v>Bose Headphones</v>
      </c>
      <c r="K16" s="17">
        <f t="shared" si="2"/>
        <v>45763</v>
      </c>
    </row>
    <row r="17" spans="1:11" ht="15.75" customHeight="1" x14ac:dyDescent="0.25">
      <c r="A17" s="8" t="s">
        <v>72</v>
      </c>
      <c r="B17" s="8" t="s">
        <v>73</v>
      </c>
      <c r="C17" s="8" t="str">
        <v>Laptop Bag</v>
      </c>
      <c r="D17" s="8" t="s">
        <v>74</v>
      </c>
      <c r="E17" s="13">
        <v>50</v>
      </c>
      <c r="F17" s="8">
        <v>35</v>
      </c>
      <c r="G17" s="8" t="s">
        <v>75</v>
      </c>
      <c r="H17" s="17" t="str">
        <f>LEFT(A17,6)</f>
        <v>21-AUG</v>
      </c>
      <c r="I17" t="str">
        <f t="shared" si="0"/>
        <v>CA</v>
      </c>
      <c r="J17" t="str">
        <f t="shared" si="1"/>
        <v>Samsonite Laptop Bag</v>
      </c>
      <c r="K17" s="17">
        <f t="shared" si="2"/>
        <v>45890</v>
      </c>
    </row>
    <row r="18" spans="1:11" ht="15.75" customHeight="1" x14ac:dyDescent="0.25">
      <c r="A18" s="5" t="s">
        <v>76</v>
      </c>
      <c r="B18" s="5" t="s">
        <v>67</v>
      </c>
      <c r="C18" s="5" t="str">
        <v>Smartwatch</v>
      </c>
      <c r="D18" s="5" t="s">
        <v>77</v>
      </c>
      <c r="E18" s="12">
        <v>160</v>
      </c>
      <c r="F18" s="5">
        <v>15</v>
      </c>
      <c r="G18" s="5" t="s">
        <v>28</v>
      </c>
      <c r="H18" s="17" t="str">
        <f>LEFT(A18,6)</f>
        <v>20-AUG</v>
      </c>
      <c r="I18" t="str">
        <f t="shared" si="0"/>
        <v>CN</v>
      </c>
      <c r="J18" t="str">
        <f t="shared" si="1"/>
        <v>Huawei Smartwatch</v>
      </c>
      <c r="K18" s="17">
        <f t="shared" si="2"/>
        <v>45889</v>
      </c>
    </row>
    <row r="19" spans="1:11" ht="15.75" customHeight="1" x14ac:dyDescent="0.25">
      <c r="A19" s="8" t="s">
        <v>78</v>
      </c>
      <c r="B19" s="8" t="s">
        <v>26</v>
      </c>
      <c r="C19" s="8" t="str">
        <v>Laptop</v>
      </c>
      <c r="D19" s="8" t="s">
        <v>79</v>
      </c>
      <c r="E19" s="13">
        <v>980</v>
      </c>
      <c r="F19" s="8">
        <v>10</v>
      </c>
      <c r="G19" s="8" t="s">
        <v>28</v>
      </c>
      <c r="H19" s="17" t="str">
        <f>LEFT(A19,6)</f>
        <v>27-JAN</v>
      </c>
      <c r="I19" t="str">
        <f t="shared" si="0"/>
        <v>IT</v>
      </c>
      <c r="J19" t="str">
        <f t="shared" si="1"/>
        <v>Asus Laptop</v>
      </c>
      <c r="K19" s="17">
        <f t="shared" si="2"/>
        <v>45684</v>
      </c>
    </row>
    <row r="20" spans="1:11" ht="15.75" customHeight="1" x14ac:dyDescent="0.25">
      <c r="A20" s="5" t="s">
        <v>80</v>
      </c>
      <c r="B20" s="5" t="s">
        <v>81</v>
      </c>
      <c r="C20" s="5" t="str">
        <v>Sunglasses</v>
      </c>
      <c r="D20" s="5" t="s">
        <v>82</v>
      </c>
      <c r="E20" s="12">
        <v>150</v>
      </c>
      <c r="F20" s="5">
        <v>15</v>
      </c>
      <c r="G20" s="5" t="s">
        <v>32</v>
      </c>
      <c r="H20" s="17" t="str">
        <f>LEFT(A20,6)</f>
        <v>01-MAR</v>
      </c>
      <c r="I20" t="str">
        <f t="shared" si="0"/>
        <v>UK</v>
      </c>
      <c r="J20" t="str">
        <f t="shared" si="1"/>
        <v>Oakley Sunglasses</v>
      </c>
      <c r="K20" s="17">
        <f t="shared" si="2"/>
        <v>45717</v>
      </c>
    </row>
    <row r="21" spans="1:11" ht="15.75" customHeight="1" x14ac:dyDescent="0.25">
      <c r="A21" s="8" t="s">
        <v>83</v>
      </c>
      <c r="B21" s="8" t="s">
        <v>84</v>
      </c>
      <c r="C21" s="8" t="str">
        <v>Camping Tent</v>
      </c>
      <c r="D21" s="8" t="s">
        <v>85</v>
      </c>
      <c r="E21" s="14" t="s">
        <v>117</v>
      </c>
      <c r="F21" s="8">
        <v>10</v>
      </c>
      <c r="G21" s="8" t="s">
        <v>59</v>
      </c>
      <c r="H21" s="17" t="str">
        <f>LEFT(A21,6)</f>
        <v>14-AUG</v>
      </c>
      <c r="I21" t="str">
        <f t="shared" si="0"/>
        <v>US</v>
      </c>
      <c r="J21" t="str">
        <f t="shared" si="1"/>
        <v>Coleman Camping Tent</v>
      </c>
      <c r="K21" s="17">
        <f t="shared" si="2"/>
        <v>45883</v>
      </c>
    </row>
    <row r="22" spans="1:11" ht="15.75" customHeight="1" x14ac:dyDescent="0.25">
      <c r="A22" s="5" t="s">
        <v>86</v>
      </c>
      <c r="B22" s="5" t="s">
        <v>87</v>
      </c>
      <c r="C22" s="5" t="str">
        <v>Camera</v>
      </c>
      <c r="D22" s="5" t="s">
        <v>88</v>
      </c>
      <c r="E22" s="12">
        <v>700</v>
      </c>
      <c r="F22" s="5">
        <v>50</v>
      </c>
      <c r="G22" s="5" t="s">
        <v>28</v>
      </c>
      <c r="H22" s="17" t="str">
        <f>LEFT(A22,6)</f>
        <v>14-MAY</v>
      </c>
      <c r="I22" t="str">
        <f t="shared" si="0"/>
        <v>RU</v>
      </c>
      <c r="J22" t="str">
        <f t="shared" si="1"/>
        <v>Nikon Camera</v>
      </c>
      <c r="K22" s="17">
        <f>DATEVALUE(H22&amp;"-2025")</f>
        <v>45791</v>
      </c>
    </row>
    <row r="23" spans="1:11" ht="15.75" customHeight="1" x14ac:dyDescent="0.25">
      <c r="A23" s="8" t="s">
        <v>89</v>
      </c>
      <c r="B23" s="8" t="s">
        <v>90</v>
      </c>
      <c r="C23" s="8" t="str">
        <v>Microwave</v>
      </c>
      <c r="D23" s="8" t="s">
        <v>91</v>
      </c>
      <c r="E23" s="13">
        <v>80</v>
      </c>
      <c r="F23" s="8">
        <v>20</v>
      </c>
      <c r="G23" s="8" t="s">
        <v>36</v>
      </c>
      <c r="H23" s="17" t="str">
        <f>LEFT(A23,6)</f>
        <v>09-JAN</v>
      </c>
      <c r="I23" t="str">
        <f t="shared" si="0"/>
        <v>CA</v>
      </c>
      <c r="J23" t="str">
        <f t="shared" si="1"/>
        <v>Panasonic Microwave</v>
      </c>
      <c r="K23" s="17">
        <f t="shared" si="2"/>
        <v>45666</v>
      </c>
    </row>
    <row r="24" spans="1:11" ht="15.75" customHeight="1" x14ac:dyDescent="0.25">
      <c r="A24" s="5" t="s">
        <v>92</v>
      </c>
      <c r="B24" s="5" t="s">
        <v>93</v>
      </c>
      <c r="C24" s="5" t="str">
        <v>Fitness Tracker</v>
      </c>
      <c r="D24" s="5" t="s">
        <v>94</v>
      </c>
      <c r="E24" s="12">
        <v>150</v>
      </c>
      <c r="F24" s="5">
        <v>30</v>
      </c>
      <c r="G24" s="5" t="s">
        <v>116</v>
      </c>
      <c r="H24" s="17" t="str">
        <f>LEFT(A24,6)</f>
        <v>19-JUL</v>
      </c>
      <c r="I24" t="str">
        <f t="shared" si="0"/>
        <v>BR</v>
      </c>
      <c r="J24" t="str">
        <f t="shared" si="1"/>
        <v>Xiaomi Fitness Tracker</v>
      </c>
      <c r="K24" s="17">
        <f t="shared" si="2"/>
        <v>45857</v>
      </c>
    </row>
    <row r="25" spans="1:11" ht="15.75" customHeight="1" x14ac:dyDescent="0.25">
      <c r="A25" s="8" t="s">
        <v>72</v>
      </c>
      <c r="B25" s="8" t="s">
        <v>73</v>
      </c>
      <c r="C25" s="8" t="str">
        <v>Laptop Bag</v>
      </c>
      <c r="D25" s="8" t="s">
        <v>74</v>
      </c>
      <c r="E25" s="13">
        <v>50</v>
      </c>
      <c r="F25" s="8">
        <v>35</v>
      </c>
      <c r="G25" s="8" t="s">
        <v>75</v>
      </c>
      <c r="H25" s="17" t="str">
        <f>LEFT(A25,6)</f>
        <v>21-AUG</v>
      </c>
      <c r="I25" t="str">
        <f t="shared" si="0"/>
        <v>CA</v>
      </c>
      <c r="J25" t="str">
        <f t="shared" si="1"/>
        <v>Samsonite Laptop Bag</v>
      </c>
      <c r="K25" s="17">
        <f t="shared" si="2"/>
        <v>45890</v>
      </c>
    </row>
    <row r="26" spans="1:11" ht="15.75" customHeight="1" x14ac:dyDescent="0.25">
      <c r="A26" s="5" t="s">
        <v>95</v>
      </c>
      <c r="B26" s="5" t="s">
        <v>96</v>
      </c>
      <c r="C26" s="5" t="str">
        <v>Smartphone</v>
      </c>
      <c r="D26" s="5" t="s">
        <v>97</v>
      </c>
      <c r="E26" s="12">
        <v>800</v>
      </c>
      <c r="F26" s="5">
        <v>45</v>
      </c>
      <c r="G26" s="5" t="s">
        <v>28</v>
      </c>
      <c r="H26" s="17" t="str">
        <f>LEFT(A26,6)</f>
        <v>29-SEP</v>
      </c>
      <c r="I26" t="str">
        <f t="shared" si="0"/>
        <v>CA</v>
      </c>
      <c r="J26" t="str">
        <f t="shared" si="1"/>
        <v>Google Smartphone</v>
      </c>
      <c r="K26" s="17">
        <f t="shared" si="2"/>
        <v>45929</v>
      </c>
    </row>
    <row r="27" spans="1:11" ht="15.75" customHeight="1" x14ac:dyDescent="0.25">
      <c r="A27" s="8" t="s">
        <v>98</v>
      </c>
      <c r="B27" s="8" t="s">
        <v>81</v>
      </c>
      <c r="C27" s="8" t="str">
        <v>Sunglasses</v>
      </c>
      <c r="D27" s="8" t="s">
        <v>99</v>
      </c>
      <c r="E27" s="14" t="s">
        <v>117</v>
      </c>
      <c r="F27" s="8">
        <v>25</v>
      </c>
      <c r="G27" s="8" t="s">
        <v>32</v>
      </c>
      <c r="H27" s="17" t="str">
        <f>LEFT(A27,6)</f>
        <v>03-JUN</v>
      </c>
      <c r="I27" t="str">
        <f t="shared" si="0"/>
        <v>CA</v>
      </c>
      <c r="J27" t="str">
        <f t="shared" si="1"/>
        <v>Ray-Ban Sunglasses</v>
      </c>
      <c r="K27" s="17">
        <f t="shared" si="2"/>
        <v>45811</v>
      </c>
    </row>
    <row r="28" spans="1:11" ht="15.75" customHeight="1" x14ac:dyDescent="0.25">
      <c r="A28" s="5" t="s">
        <v>100</v>
      </c>
      <c r="B28" s="5" t="s">
        <v>51</v>
      </c>
      <c r="C28" s="5" t="str">
        <v>Blender</v>
      </c>
      <c r="D28" s="5" t="s">
        <v>101</v>
      </c>
      <c r="E28" s="12">
        <v>400</v>
      </c>
      <c r="F28" s="5">
        <v>40</v>
      </c>
      <c r="G28" s="5" t="s">
        <v>36</v>
      </c>
      <c r="H28" s="17" t="str">
        <f>LEFT(A28,6)</f>
        <v>11-JUL</v>
      </c>
      <c r="I28" t="str">
        <f t="shared" si="0"/>
        <v>CA</v>
      </c>
      <c r="J28" t="str">
        <f t="shared" si="1"/>
        <v>Vitamix Blender</v>
      </c>
      <c r="K28" s="17">
        <f t="shared" si="2"/>
        <v>45849</v>
      </c>
    </row>
    <row r="29" spans="1:11" ht="15.75" customHeight="1" x14ac:dyDescent="0.25">
      <c r="A29" s="8" t="s">
        <v>69</v>
      </c>
      <c r="B29" s="8" t="s">
        <v>70</v>
      </c>
      <c r="C29" s="8" t="str">
        <v>Headphones</v>
      </c>
      <c r="D29" s="8" t="s">
        <v>71</v>
      </c>
      <c r="E29" s="13">
        <v>250</v>
      </c>
      <c r="F29" s="8">
        <v>20</v>
      </c>
      <c r="G29" s="8" t="s">
        <v>28</v>
      </c>
      <c r="H29" s="17" t="str">
        <f>LEFT(A29,6)</f>
        <v>16-APR</v>
      </c>
      <c r="I29" t="str">
        <f t="shared" si="0"/>
        <v>ES</v>
      </c>
      <c r="J29" t="str">
        <f t="shared" si="1"/>
        <v>Bose Headphones</v>
      </c>
      <c r="K29" s="17">
        <f t="shared" si="2"/>
        <v>45763</v>
      </c>
    </row>
    <row r="30" spans="1:11" ht="15.75" customHeight="1" x14ac:dyDescent="0.25">
      <c r="A30" s="5" t="s">
        <v>102</v>
      </c>
      <c r="B30" s="5" t="s">
        <v>103</v>
      </c>
      <c r="C30" s="5" t="str">
        <v>Dress</v>
      </c>
      <c r="D30" s="5" t="s">
        <v>104</v>
      </c>
      <c r="E30" s="12">
        <v>60</v>
      </c>
      <c r="F30" s="5">
        <v>30</v>
      </c>
      <c r="G30" s="5" t="s">
        <v>32</v>
      </c>
      <c r="H30" s="17" t="str">
        <f>LEFT(A30,6)</f>
        <v>07-MAR</v>
      </c>
      <c r="I30" t="str">
        <f t="shared" si="0"/>
        <v>CA</v>
      </c>
      <c r="J30" t="str">
        <f t="shared" si="1"/>
        <v>Zara Dress</v>
      </c>
      <c r="K30" s="17">
        <f t="shared" si="2"/>
        <v>45723</v>
      </c>
    </row>
    <row r="31" spans="1:11" ht="15.75" customHeight="1" x14ac:dyDescent="0.25">
      <c r="A31" s="8" t="s">
        <v>105</v>
      </c>
      <c r="B31" s="8" t="s">
        <v>106</v>
      </c>
      <c r="C31" s="8" t="str">
        <v>Toaster</v>
      </c>
      <c r="D31" s="8" t="s">
        <v>107</v>
      </c>
      <c r="E31" s="13">
        <v>40</v>
      </c>
      <c r="F31" s="8">
        <v>10</v>
      </c>
      <c r="G31" s="8" t="s">
        <v>36</v>
      </c>
      <c r="H31" s="17" t="str">
        <f>LEFT(A31,6)</f>
        <v>13-APR</v>
      </c>
      <c r="I31" t="str">
        <f t="shared" si="0"/>
        <v>CA</v>
      </c>
      <c r="J31" t="str">
        <f t="shared" si="1"/>
        <v>Hamilton Toaster</v>
      </c>
      <c r="K31" s="17">
        <f t="shared" si="2"/>
        <v>45760</v>
      </c>
    </row>
    <row r="32" spans="1:11" ht="15.75" customHeight="1" x14ac:dyDescent="0.25">
      <c r="A32" s="5" t="s">
        <v>108</v>
      </c>
      <c r="B32" s="5" t="s">
        <v>93</v>
      </c>
      <c r="C32" s="5" t="str">
        <v>Fitness Tracker</v>
      </c>
      <c r="D32" s="5" t="s">
        <v>109</v>
      </c>
      <c r="E32" s="12">
        <v>130</v>
      </c>
      <c r="F32" s="5">
        <v>5</v>
      </c>
      <c r="G32" s="5" t="s">
        <v>28</v>
      </c>
      <c r="H32" s="17" t="str">
        <f>LEFT(A32,6)</f>
        <v>24-MAY</v>
      </c>
      <c r="I32" t="str">
        <f t="shared" si="0"/>
        <v>CA</v>
      </c>
      <c r="J32" t="str">
        <f t="shared" si="1"/>
        <v>Garmin Fitness Tracker</v>
      </c>
      <c r="K32" s="17">
        <f t="shared" si="2"/>
        <v>45801</v>
      </c>
    </row>
    <row r="33" spans="1:11" ht="15.75" customHeight="1" x14ac:dyDescent="0.25">
      <c r="A33" s="8" t="s">
        <v>110</v>
      </c>
      <c r="B33" s="8" t="s">
        <v>111</v>
      </c>
      <c r="C33" s="8" t="str">
        <v>Jeans</v>
      </c>
      <c r="D33" s="8" t="s">
        <v>112</v>
      </c>
      <c r="E33" s="13">
        <v>50</v>
      </c>
      <c r="F33" s="8">
        <v>50</v>
      </c>
      <c r="G33" s="8" t="s">
        <v>32</v>
      </c>
      <c r="H33" s="17" t="str">
        <f>LEFT(A33,6)</f>
        <v>02-DEC</v>
      </c>
      <c r="I33" t="str">
        <f t="shared" si="0"/>
        <v>CA</v>
      </c>
      <c r="J33" t="str">
        <f t="shared" si="1"/>
        <v>Levi's Jeans</v>
      </c>
      <c r="K33" s="17">
        <f t="shared" si="2"/>
        <v>45993</v>
      </c>
    </row>
    <row r="34" spans="1:11" ht="15.75" customHeight="1" x14ac:dyDescent="0.25">
      <c r="A34" s="5" t="s">
        <v>60</v>
      </c>
      <c r="B34" s="5" t="s">
        <v>61</v>
      </c>
      <c r="C34" s="5" t="str">
        <v>Laptop</v>
      </c>
      <c r="D34" s="5" t="s">
        <v>62</v>
      </c>
      <c r="E34" s="12">
        <v>950</v>
      </c>
      <c r="F34" s="5">
        <v>25</v>
      </c>
      <c r="G34" s="5" t="s">
        <v>28</v>
      </c>
      <c r="H34" s="17" t="str">
        <f>LEFT(A34,6)</f>
        <v>17-JUN</v>
      </c>
      <c r="I34" t="str">
        <f t="shared" si="0"/>
        <v>IN</v>
      </c>
      <c r="J34" t="str">
        <f t="shared" si="1"/>
        <v>HP Laptop</v>
      </c>
      <c r="K34" s="17">
        <f t="shared" si="2"/>
        <v>45825</v>
      </c>
    </row>
    <row r="35" spans="1:11" ht="15.75" customHeight="1" x14ac:dyDescent="0.25">
      <c r="A35" s="8" t="s">
        <v>113</v>
      </c>
      <c r="B35" s="8" t="s">
        <v>114</v>
      </c>
      <c r="C35" s="8" t="str">
        <v>Watch</v>
      </c>
      <c r="D35" s="8" t="s">
        <v>115</v>
      </c>
      <c r="E35" s="13">
        <v>100</v>
      </c>
      <c r="F35" s="8">
        <v>20</v>
      </c>
      <c r="G35" s="8" t="s">
        <v>75</v>
      </c>
      <c r="H35" s="17" t="str">
        <f>LEFT(A35,6)</f>
        <v>09-JUL</v>
      </c>
      <c r="I35" t="str">
        <f t="shared" si="0"/>
        <v>FR</v>
      </c>
      <c r="J35" t="str">
        <f t="shared" si="1"/>
        <v>Casio Watch</v>
      </c>
      <c r="K35" s="17">
        <f t="shared" si="2"/>
        <v>45847</v>
      </c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1:E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{905C32D8-F630-40FC-B513-E2572F0A4588}</x14:id>
        </ext>
      </extLst>
    </cfRule>
  </conditionalFormatting>
  <conditionalFormatting sqref="G2:G35">
    <cfRule type="expression" dxfId="0" priority="2">
      <formula>$G$7</formula>
    </cfRule>
    <cfRule type="containsText" dxfId="1" priority="1" operator="containsText" text="Electronics">
      <formula>NOT(ISERROR(SEARCH("Electronics",G2)))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5C32D8-F630-40FC-B513-E2572F0A45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Meera Vilas</cp:lastModifiedBy>
  <dcterms:created xsi:type="dcterms:W3CDTF">2026-10-11T14:30:42Z</dcterms:created>
  <dcterms:modified xsi:type="dcterms:W3CDTF">2026-10-13T18:07:40Z</dcterms:modified>
</cp:coreProperties>
</file>